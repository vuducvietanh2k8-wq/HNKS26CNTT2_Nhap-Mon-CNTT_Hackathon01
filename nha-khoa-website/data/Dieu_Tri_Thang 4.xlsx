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PhieuDieuTri" sheetId="1" r:id="rId1"/>
    <sheet name="DieuTri" sheetId="2" r:id="rId2"/>
  </sheets>
  <definedNames>
    <definedName name="_xlnm._FilterDatabase" localSheetId="0" hidden="1">PhieuDieuTri!$A$1:$G$16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<sst xmlns="http://schemas.openxmlformats.org/spreadsheetml/2006/main" count="69" uniqueCount="51">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</sst>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$A1:$XFD1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2</v>
      </c>
      <c r="E2" t="str">
        <f>VLOOKUP(C2,DieuTri!$A$1:$C$8,2,FALSE)</f>
        <v>Lay tuy rang</v>
      </c>
      <c r="F2">
        <f>VLOOKUP(C2,DieuTri!$A$1:$C$8,3,1)</f>
        <v>300000</v>
      </c>
      <c r="G2">
        <f>D2*F2</f>
        <v>600000</v>
      </c>
    </row>
    <row r="3" spans="1:7">
      <c r="A3" t="s">
        <v>10</v>
      </c>
      <c r="B3" t="s">
        <v>11</v>
      </c>
      <c r="C3" t="s">
        <v>12</v>
      </c>
      <c r="D3">
        <v>3</v>
      </c>
      <c r="E3" t="str">
        <f>VLOOKUP(C3,DieuTri!$A$1:$C$8,2,FALSE)</f>
        <v>Tram rang</v>
      </c>
      <c r="F3">
        <f>VLOOKUP(C3,DieuTri!$A$1:$C$8,3,1)</f>
        <v>500000</v>
      </c>
      <c r="G3">
        <f t="shared" ref="G3:G16" si="0">D3*F3</f>
        <v>1500000</v>
      </c>
    </row>
    <row r="4" spans="1:7">
      <c r="A4" t="s">
        <v>13</v>
      </c>
      <c r="B4" t="s">
        <v>14</v>
      </c>
      <c r="C4" t="s">
        <v>15</v>
      </c>
      <c r="D4">
        <v>5</v>
      </c>
      <c r="E4" t="str">
        <f>VLOOKUP(C4,DieuTri!$A$1:$C$8,2,FALSE)</f>
        <v>Kham tong quat</v>
      </c>
      <c r="F4">
        <f>VLOOKUP(C4,DieuTri!$A$1:$C$8,3,1)</f>
        <v>300000</v>
      </c>
      <c r="G4">
        <f t="shared" si="0"/>
        <v>1500000</v>
      </c>
    </row>
    <row r="5" spans="1:7">
      <c r="A5" t="s">
        <v>16</v>
      </c>
      <c r="B5" t="s">
        <v>17</v>
      </c>
      <c r="C5" t="s">
        <v>9</v>
      </c>
      <c r="D5">
        <v>4</v>
      </c>
      <c r="E5" t="str">
        <f>VLOOKUP(C5,DieuTri!$A$1:$C$8,2,FALSE)</f>
        <v>Lay tuy rang</v>
      </c>
      <c r="F5">
        <f>VLOOKUP(C5,DieuTri!$A$1:$C$8,3,1)</f>
        <v>300000</v>
      </c>
      <c r="G5">
        <f t="shared" si="0"/>
        <v>1200000</v>
      </c>
    </row>
    <row r="6" hidden="1" spans="1:7">
      <c r="A6" t="s">
        <v>18</v>
      </c>
      <c r="B6" t="s">
        <v>19</v>
      </c>
      <c r="C6" t="s">
        <v>20</v>
      </c>
      <c r="D6">
        <v>2</v>
      </c>
      <c r="E6" t="str">
        <f>VLOOKUP(C6,DieuTri!$A$1:$C$8,2,FALSE)</f>
        <v>Tu van nieng rang</v>
      </c>
      <c r="F6">
        <f>VLOOKUP(C6,DieuTri!$A$1:$C$8,3,1)</f>
        <v>300000</v>
      </c>
      <c r="G6">
        <f t="shared" si="0"/>
        <v>600000</v>
      </c>
    </row>
    <row r="7" spans="1:7">
      <c r="A7" t="s">
        <v>21</v>
      </c>
      <c r="B7" t="s">
        <v>22</v>
      </c>
      <c r="C7" t="s">
        <v>20</v>
      </c>
      <c r="D7">
        <v>5</v>
      </c>
      <c r="E7" t="str">
        <f>VLOOKUP(C7,DieuTri!$A$1:$C$8,2,FALSE)</f>
        <v>Tu van nieng rang</v>
      </c>
      <c r="F7">
        <f>VLOOKUP(C7,DieuTri!$A$1:$C$8,3,1)</f>
        <v>300000</v>
      </c>
      <c r="G7">
        <f t="shared" si="0"/>
        <v>1500000</v>
      </c>
    </row>
    <row r="8" hidden="1" spans="1:7">
      <c r="A8" t="s">
        <v>23</v>
      </c>
      <c r="B8" t="s">
        <v>24</v>
      </c>
      <c r="C8" t="s">
        <v>25</v>
      </c>
      <c r="D8">
        <v>1</v>
      </c>
      <c r="E8" t="str">
        <f>VLOOKUP(C8,DieuTri!$A$1:$C$8,2,FALSE)</f>
        <v>Cao voi rang</v>
      </c>
      <c r="F8">
        <f>VLOOKUP(C8,DieuTri!$A$1:$C$8,3,1)</f>
        <v>300000</v>
      </c>
      <c r="G8">
        <f t="shared" si="0"/>
        <v>300000</v>
      </c>
    </row>
    <row r="9" hidden="1" spans="1:7">
      <c r="A9" t="s">
        <v>26</v>
      </c>
      <c r="B9" t="s">
        <v>27</v>
      </c>
      <c r="C9" t="s">
        <v>20</v>
      </c>
      <c r="D9">
        <v>3</v>
      </c>
      <c r="E9" t="str">
        <f>VLOOKUP(C9,DieuTri!$A$1:$C$8,2,FALSE)</f>
        <v>Tu van nieng rang</v>
      </c>
      <c r="F9">
        <f>VLOOKUP(C9,DieuTri!$A$1:$C$8,3,1)</f>
        <v>300000</v>
      </c>
      <c r="G9">
        <f t="shared" si="0"/>
        <v>900000</v>
      </c>
    </row>
    <row r="10" hidden="1" spans="1:7">
      <c r="A10" t="s">
        <v>28</v>
      </c>
      <c r="B10" t="s">
        <v>29</v>
      </c>
      <c r="C10" t="s">
        <v>25</v>
      </c>
      <c r="D10">
        <v>1</v>
      </c>
      <c r="E10" t="str">
        <f>VLOOKUP(C10,DieuTri!$A$1:$C$8,2,FALSE)</f>
        <v>Cao voi rang</v>
      </c>
      <c r="F10">
        <f>VLOOKUP(C10,DieuTri!$A$1:$C$8,3,1)</f>
        <v>300000</v>
      </c>
      <c r="G10">
        <f t="shared" si="0"/>
        <v>300000</v>
      </c>
    </row>
    <row r="11" spans="1:7">
      <c r="A11" t="s">
        <v>30</v>
      </c>
      <c r="B11" t="s">
        <v>31</v>
      </c>
      <c r="C11" t="s">
        <v>9</v>
      </c>
      <c r="D11">
        <v>4</v>
      </c>
      <c r="E11" t="str">
        <f>VLOOKUP(C11,DieuTri!$A$1:$C$8,2,FALSE)</f>
        <v>Lay tuy rang</v>
      </c>
      <c r="F11">
        <f>VLOOKUP(C11,DieuTri!$A$1:$C$8,3,1)</f>
        <v>300000</v>
      </c>
      <c r="G11">
        <f t="shared" si="0"/>
        <v>1200000</v>
      </c>
    </row>
    <row r="12" spans="1:7">
      <c r="A12" t="s">
        <v>32</v>
      </c>
      <c r="B12" t="s">
        <v>33</v>
      </c>
      <c r="C12" t="s">
        <v>12</v>
      </c>
      <c r="D12">
        <v>5</v>
      </c>
      <c r="E12" t="str">
        <f>VLOOKUP(C12,DieuTri!$A$1:$C$8,2,FALSE)</f>
        <v>Tram rang</v>
      </c>
      <c r="F12">
        <f>VLOOKUP(C12,DieuTri!$A$1:$C$8,3,1)</f>
        <v>500000</v>
      </c>
      <c r="G12">
        <f t="shared" si="0"/>
        <v>2500000</v>
      </c>
    </row>
    <row r="13" hidden="1" spans="1:7">
      <c r="A13" t="s">
        <v>34</v>
      </c>
      <c r="B13" t="s">
        <v>35</v>
      </c>
      <c r="C13" t="s">
        <v>36</v>
      </c>
      <c r="D13">
        <v>2</v>
      </c>
      <c r="E13" t="str">
        <f>VLOOKUP(C13,DieuTri!$A$1:$C$8,2,FALSE)</f>
        <v>Tay trang rang</v>
      </c>
      <c r="F13">
        <f>VLOOKUP(C13,DieuTri!$A$1:$C$8,3,1)</f>
        <v>500000</v>
      </c>
      <c r="G13">
        <f t="shared" si="0"/>
        <v>1000000</v>
      </c>
    </row>
    <row r="14" spans="1:7">
      <c r="A14" t="s">
        <v>37</v>
      </c>
      <c r="B14" t="s">
        <v>38</v>
      </c>
      <c r="C14" t="s">
        <v>36</v>
      </c>
      <c r="D14">
        <v>3</v>
      </c>
      <c r="E14" t="str">
        <f>VLOOKUP(C14,DieuTri!$A$1:$C$8,2,FALSE)</f>
        <v>Tay trang rang</v>
      </c>
      <c r="F14">
        <f>VLOOKUP(C14,DieuTri!$A$1:$C$8,3,1)</f>
        <v>500000</v>
      </c>
      <c r="G14">
        <f t="shared" si="0"/>
        <v>1500000</v>
      </c>
    </row>
    <row r="15" hidden="1" spans="1:7">
      <c r="A15" t="s">
        <v>39</v>
      </c>
      <c r="B15" t="s">
        <v>40</v>
      </c>
      <c r="C15" t="s">
        <v>25</v>
      </c>
      <c r="D15">
        <v>1</v>
      </c>
      <c r="E15" t="str">
        <f>VLOOKUP(C15,DieuTri!$A$1:$C$8,2,FALSE)</f>
        <v>Cao voi rang</v>
      </c>
      <c r="F15">
        <f>VLOOKUP(C15,DieuTri!$A$1:$C$8,3,1)</f>
        <v>300000</v>
      </c>
      <c r="G15">
        <f t="shared" si="0"/>
        <v>300000</v>
      </c>
    </row>
    <row r="16" hidden="1" spans="1:7">
      <c r="A16" t="s">
        <v>41</v>
      </c>
      <c r="B16" t="s">
        <v>42</v>
      </c>
      <c r="C16" t="s">
        <v>43</v>
      </c>
      <c r="D16">
        <v>2</v>
      </c>
      <c r="E16" t="str">
        <f>VLOOKUP(C16,DieuTri!$A$1:$C$8,2,FALSE)</f>
        <v>Nho rang sua</v>
      </c>
      <c r="F16">
        <f>VLOOKUP(C16,DieuTri!$A$1:$C$8,3,1)</f>
        <v>150000</v>
      </c>
      <c r="G16">
        <f t="shared" si="0"/>
        <v>300000</v>
      </c>
    </row>
  </sheetData>
  <autoFilter xmlns:etc="http://www.wps.cn/officeDocument/2017/etCustomData" ref="A1:G16" etc:filterBottomFollowUsedRange="0">
    <filterColumn colId="6">
      <filters>
        <filter val="1200000"/>
        <filter val="1500000"/>
        <filter val="25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25</v>
      </c>
      <c r="B2" t="s">
        <v>44</v>
      </c>
      <c r="C2">
        <v>300000</v>
      </c>
    </row>
    <row r="3" spans="1:3">
      <c r="A3" t="s">
        <v>12</v>
      </c>
      <c r="B3" t="s">
        <v>45</v>
      </c>
      <c r="C3">
        <v>400000</v>
      </c>
    </row>
    <row r="4" spans="1:3">
      <c r="A4" t="s">
        <v>43</v>
      </c>
      <c r="B4" t="s">
        <v>46</v>
      </c>
      <c r="C4">
        <v>150000</v>
      </c>
    </row>
    <row r="5" spans="1:3">
      <c r="A5" t="s">
        <v>36</v>
      </c>
      <c r="B5" t="s">
        <v>47</v>
      </c>
      <c r="C5">
        <v>1500000</v>
      </c>
    </row>
    <row r="6" spans="1:3">
      <c r="A6" t="s">
        <v>9</v>
      </c>
      <c r="B6" t="s">
        <v>48</v>
      </c>
      <c r="C6">
        <v>1200000</v>
      </c>
    </row>
    <row r="7" spans="1:3">
      <c r="A7" t="s">
        <v>15</v>
      </c>
      <c r="B7" t="s">
        <v>49</v>
      </c>
      <c r="C7">
        <v>200000</v>
      </c>
    </row>
    <row r="8" spans="1:3">
      <c r="A8" t="s">
        <v>20</v>
      </c>
      <c r="B8" t="s">
        <v>50</v>
      </c>
      <c r="C8">
        <v>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Vu</cp:lastModifiedBy>
  <dcterms:created xsi:type="dcterms:W3CDTF">2026-10-27T01:32:00Z</dcterms:created>
  <dcterms:modified xsi:type="dcterms:W3CDTF">2026-10-28T07:43:10Z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4EE2255211B948D09FB09DAA25879EFD_12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